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ДЕКОРАТОР новый\Обучение\"/>
    </mc:Choice>
  </mc:AlternateContent>
  <xr:revisionPtr revIDLastSave="0" documentId="13_ncr:1_{D1E29510-E775-4E26-9A11-3FB24374C4D2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штора расчет" sheetId="2" r:id="rId1"/>
    <sheet name="штора римская расчет" sheetId="4" r:id="rId2"/>
    <sheet name="штора покрывало расчет" sheetId="3" r:id="rId3"/>
    <sheet name="расчет ролл шторы (2)" sheetId="6" r:id="rId4"/>
    <sheet name="расчет жалюзи" sheetId="5" r:id="rId5"/>
    <sheet name="кабинет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7" l="1"/>
  <c r="C15" i="7"/>
  <c r="C14" i="7"/>
  <c r="C12" i="7"/>
  <c r="C11" i="7"/>
  <c r="C10" i="7"/>
  <c r="C8" i="7"/>
  <c r="C7" i="7"/>
  <c r="C16" i="5"/>
  <c r="C12" i="5"/>
  <c r="C8" i="5"/>
  <c r="C7" i="5"/>
  <c r="A14" i="5"/>
  <c r="A10" i="5"/>
  <c r="A6" i="5"/>
  <c r="C15" i="5"/>
  <c r="C11" i="6"/>
  <c r="C12" i="6" s="1"/>
  <c r="C7" i="6"/>
  <c r="C8" i="6" s="1"/>
  <c r="C11" i="5"/>
  <c r="C9" i="4"/>
  <c r="C8" i="4"/>
  <c r="C7" i="4"/>
  <c r="C6" i="4"/>
  <c r="C5" i="4"/>
  <c r="C5" i="3"/>
  <c r="C5" i="2"/>
  <c r="C7" i="2" s="1"/>
  <c r="C8" i="2" s="1"/>
  <c r="D7" i="2"/>
  <c r="D6" i="2"/>
  <c r="C6" i="2"/>
  <c r="D8" i="2"/>
  <c r="D5" i="2"/>
</calcChain>
</file>

<file path=xl/sharedStrings.xml><?xml version="1.0" encoding="utf-8"?>
<sst xmlns="http://schemas.openxmlformats.org/spreadsheetml/2006/main" count="79" uniqueCount="38">
  <si>
    <t>цена 1</t>
  </si>
  <si>
    <t>штора</t>
  </si>
  <si>
    <t>ткань высотой 320</t>
  </si>
  <si>
    <t>штора с подкладкой сатин</t>
  </si>
  <si>
    <t>подклад</t>
  </si>
  <si>
    <t>пошив за метр</t>
  </si>
  <si>
    <t>цена за метр</t>
  </si>
  <si>
    <t>итого сумма</t>
  </si>
  <si>
    <t>цена подклад  сатин</t>
  </si>
  <si>
    <t>ширина карниза в мт, высота до 305 см</t>
  </si>
  <si>
    <t>метраж ткани при самой распространенной средней сборке</t>
  </si>
  <si>
    <t>пошив за 1 изделие + сырье: синтипон и хлопок подкладка</t>
  </si>
  <si>
    <t xml:space="preserve">метраж ткани </t>
  </si>
  <si>
    <t>кровать 180*200 см, спуск 45 см - расход ткани</t>
  </si>
  <si>
    <t>пошив за квадрат</t>
  </si>
  <si>
    <t>римский механизм цена за погметр</t>
  </si>
  <si>
    <t>ширина 190 см и высота изделия 250 см</t>
  </si>
  <si>
    <t>сумма римского механизма</t>
  </si>
  <si>
    <t>сумма пошив за квадрат</t>
  </si>
  <si>
    <t>сумма за ткань</t>
  </si>
  <si>
    <t>ролл шторы 50 % затенение</t>
  </si>
  <si>
    <t>ролл шторы блекаут</t>
  </si>
  <si>
    <t>цена 2</t>
  </si>
  <si>
    <t>сумма за изделие</t>
  </si>
  <si>
    <t>метраж сырья в квадратах</t>
  </si>
  <si>
    <t>жалюзи горизонтальные - алюминий</t>
  </si>
  <si>
    <t>жалюзи горизонтальные  - древесно полимерный композит</t>
  </si>
  <si>
    <t>цена 3</t>
  </si>
  <si>
    <t>жалюзи горизонтальные  - дерево</t>
  </si>
  <si>
    <t>кабинет 1</t>
  </si>
  <si>
    <t>кабинет 2</t>
  </si>
  <si>
    <t>кабинет 3</t>
  </si>
  <si>
    <t>шторы</t>
  </si>
  <si>
    <t>кабинет 1. шторы</t>
  </si>
  <si>
    <t>кабинет 2. шторы + горизонтальные жалюзи</t>
  </si>
  <si>
    <t>кабинет 3. шторы + римские шторы</t>
  </si>
  <si>
    <t>жалюзи</t>
  </si>
  <si>
    <t>римские шторы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</si>
</sst>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2" fillId="2" borderId="0" xfId="0" applyNumberFormat="1" applyFont="1" applyFill="1"/>
    <xf numFmtId="164" fontId="4" fillId="0" borderId="0" xfId="0" applyNumberFormat="1" applyFont="1"/>
    <xf numFmtId="0" fontId="0" fillId="0" borderId="1" xfId="0" applyNumberFormat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164" fontId="4" fillId="0" borderId="0" xfId="0" applyNumberFormat="1" applyFont="1" applyFill="1"/>
    <xf numFmtId="0" fontId="0" fillId="0" borderId="0" xfId="0" applyFill="1"/>
    <xf numFmtId="3" fontId="0" fillId="0" borderId="0" xfId="0" applyNumberFormat="1" applyFill="1"/>
    <xf numFmtId="3" fontId="2" fillId="0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164" fontId="1" fillId="2" borderId="0" xfId="0" applyNumberFormat="1" applyFont="1" applyFill="1"/>
    <xf numFmtId="3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2" borderId="0" xfId="0" applyFill="1"/>
    <xf numFmtId="164" fontId="1" fillId="0" borderId="1" xfId="0" applyNumberFormat="1" applyFont="1" applyBorder="1"/>
    <xf numFmtId="0" fontId="1" fillId="0" borderId="3" xfId="0" applyFont="1" applyBorder="1"/>
    <xf numFmtId="164" fontId="1" fillId="0" borderId="0" xfId="0" applyNumberFormat="1" applyFont="1" applyFill="1"/>
    <xf numFmtId="3" fontId="1" fillId="0" borderId="0" xfId="0" applyNumberFormat="1" applyFont="1" applyFill="1"/>
    <xf numFmtId="3" fontId="1" fillId="0" borderId="0" xfId="0" applyNumberFormat="1" applyFont="1"/>
    <xf numFmtId="164" fontId="2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D544-9F07-4F4E-8077-961C68A928BC}">
  <dimension ref="B1:F8"/>
  <sheetViews>
    <sheetView workbookViewId="0">
      <selection activeCell="B4" sqref="B4"/>
    </sheetView>
  </sheetViews>
  <sheetFormatPr defaultRowHeight="15" x14ac:dyDescent="0.25"/>
  <cols>
    <col min="2" max="2" width="56.140625" customWidth="1"/>
    <col min="3" max="3" width="19.5703125" customWidth="1"/>
    <col min="4" max="4" width="12.42578125" style="1" customWidth="1"/>
    <col min="5" max="5" width="13.5703125" customWidth="1"/>
    <col min="6" max="6" width="19.85546875" customWidth="1"/>
  </cols>
  <sheetData>
    <row r="1" spans="2:6" x14ac:dyDescent="0.25">
      <c r="C1" s="2" t="s">
        <v>2</v>
      </c>
      <c r="D1" s="3" t="s">
        <v>6</v>
      </c>
      <c r="E1" s="4" t="s">
        <v>5</v>
      </c>
      <c r="F1" s="4" t="s">
        <v>8</v>
      </c>
    </row>
    <row r="2" spans="2:6" x14ac:dyDescent="0.25">
      <c r="B2" t="s">
        <v>3</v>
      </c>
      <c r="C2" s="2" t="s">
        <v>0</v>
      </c>
      <c r="D2" s="3">
        <v>24000</v>
      </c>
      <c r="E2" s="3">
        <v>4900</v>
      </c>
      <c r="F2" s="3">
        <v>6000</v>
      </c>
    </row>
    <row r="4" spans="2:6" x14ac:dyDescent="0.25">
      <c r="B4" t="s">
        <v>9</v>
      </c>
      <c r="C4" s="6">
        <v>3</v>
      </c>
      <c r="D4" s="6">
        <v>4</v>
      </c>
    </row>
    <row r="5" spans="2:6" x14ac:dyDescent="0.25">
      <c r="B5" t="s">
        <v>10</v>
      </c>
      <c r="C5" s="6">
        <f>C4*2</f>
        <v>6</v>
      </c>
      <c r="D5" s="6">
        <f>D4*2</f>
        <v>8</v>
      </c>
    </row>
    <row r="6" spans="2:6" x14ac:dyDescent="0.25">
      <c r="B6" t="s">
        <v>1</v>
      </c>
      <c r="C6" s="1">
        <f>C5*(D2+E2)</f>
        <v>173400</v>
      </c>
      <c r="D6" s="1">
        <f>D5*(D2+E2)</f>
        <v>231200</v>
      </c>
    </row>
    <row r="7" spans="2:6" x14ac:dyDescent="0.25">
      <c r="B7" t="s">
        <v>4</v>
      </c>
      <c r="C7" s="1">
        <f>C5*(E2+F2)</f>
        <v>65400</v>
      </c>
      <c r="D7" s="1">
        <f>D5*(F2+E2)</f>
        <v>87200</v>
      </c>
    </row>
    <row r="8" spans="2:6" x14ac:dyDescent="0.25">
      <c r="B8" t="s">
        <v>7</v>
      </c>
      <c r="C8" s="5">
        <f>SUM(C6:C7)</f>
        <v>238800</v>
      </c>
      <c r="D8" s="5">
        <f>SUM(D6:D7)</f>
        <v>318400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1BFF-F732-4A9C-AA2F-6B47AD575967}">
  <dimension ref="B1:F12"/>
  <sheetViews>
    <sheetView workbookViewId="0">
      <selection activeCell="C14" sqref="C14"/>
    </sheetView>
  </sheetViews>
  <sheetFormatPr defaultRowHeight="15" x14ac:dyDescent="0.25"/>
  <cols>
    <col min="2" max="2" width="56.140625" customWidth="1"/>
    <col min="3" max="3" width="19.5703125" customWidth="1"/>
    <col min="4" max="4" width="12.42578125" style="1" customWidth="1"/>
    <col min="5" max="5" width="17.42578125" customWidth="1"/>
    <col min="6" max="6" width="19" customWidth="1"/>
  </cols>
  <sheetData>
    <row r="1" spans="2:6" ht="30" x14ac:dyDescent="0.25">
      <c r="C1" s="4" t="s">
        <v>2</v>
      </c>
      <c r="D1" s="3" t="s">
        <v>6</v>
      </c>
      <c r="E1" s="4" t="s">
        <v>14</v>
      </c>
      <c r="F1" s="8" t="s">
        <v>15</v>
      </c>
    </row>
    <row r="2" spans="2:6" x14ac:dyDescent="0.25">
      <c r="B2" t="s">
        <v>3</v>
      </c>
      <c r="C2" s="4" t="s">
        <v>0</v>
      </c>
      <c r="D2" s="3">
        <v>24000</v>
      </c>
      <c r="E2" s="3">
        <v>9000</v>
      </c>
      <c r="F2" s="3">
        <v>20000</v>
      </c>
    </row>
    <row r="4" spans="2:6" x14ac:dyDescent="0.25">
      <c r="B4" t="s">
        <v>16</v>
      </c>
      <c r="C4" s="6">
        <v>1.9</v>
      </c>
      <c r="D4" s="6">
        <v>2.5</v>
      </c>
    </row>
    <row r="5" spans="2:6" x14ac:dyDescent="0.25">
      <c r="B5" s="13" t="s">
        <v>12</v>
      </c>
      <c r="C5" s="14">
        <f>C4+0.4</f>
        <v>2.2999999999999998</v>
      </c>
      <c r="D5" s="6"/>
    </row>
    <row r="6" spans="2:6" x14ac:dyDescent="0.25">
      <c r="B6" s="13" t="s">
        <v>19</v>
      </c>
      <c r="C6" s="14">
        <f>C5*D2</f>
        <v>55199.999999999993</v>
      </c>
      <c r="D6" s="9"/>
      <c r="E6" s="10"/>
    </row>
    <row r="7" spans="2:6" x14ac:dyDescent="0.25">
      <c r="B7" t="s">
        <v>17</v>
      </c>
      <c r="C7" s="1">
        <f>C4*F2</f>
        <v>38000</v>
      </c>
      <c r="D7" s="11"/>
      <c r="E7" s="10"/>
    </row>
    <row r="8" spans="2:6" x14ac:dyDescent="0.25">
      <c r="B8" t="s">
        <v>18</v>
      </c>
      <c r="C8" s="1">
        <f>(C4*D4)*E2</f>
        <v>42750</v>
      </c>
      <c r="D8" s="11"/>
      <c r="E8" s="10"/>
    </row>
    <row r="9" spans="2:6" x14ac:dyDescent="0.25">
      <c r="B9" t="s">
        <v>7</v>
      </c>
      <c r="C9" s="5">
        <f>SUM(C6:C8)</f>
        <v>135950</v>
      </c>
      <c r="D9" s="12"/>
      <c r="E9" s="10"/>
    </row>
    <row r="10" spans="2:6" x14ac:dyDescent="0.25">
      <c r="D10" s="11"/>
      <c r="E10" s="10"/>
    </row>
    <row r="11" spans="2:6" x14ac:dyDescent="0.25">
      <c r="D11" s="11"/>
      <c r="E11" s="10"/>
    </row>
    <row r="12" spans="2:6" x14ac:dyDescent="0.25">
      <c r="D12" s="11"/>
      <c r="E1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9D00-5A26-44F3-ABF2-995B8EE01E31}">
  <dimension ref="B1:E5"/>
  <sheetViews>
    <sheetView workbookViewId="0">
      <selection activeCell="C9" sqref="C9"/>
    </sheetView>
  </sheetViews>
  <sheetFormatPr defaultRowHeight="15" x14ac:dyDescent="0.25"/>
  <cols>
    <col min="2" max="2" width="56.140625" customWidth="1"/>
    <col min="3" max="3" width="19.5703125" customWidth="1"/>
    <col min="4" max="4" width="12.42578125" style="1" customWidth="1"/>
    <col min="5" max="5" width="28.28515625" customWidth="1"/>
  </cols>
  <sheetData>
    <row r="1" spans="2:5" ht="42.75" customHeight="1" x14ac:dyDescent="0.25">
      <c r="C1" s="2" t="s">
        <v>2</v>
      </c>
      <c r="D1" s="3" t="s">
        <v>6</v>
      </c>
      <c r="E1" s="7" t="s">
        <v>11</v>
      </c>
    </row>
    <row r="2" spans="2:5" x14ac:dyDescent="0.25">
      <c r="B2" t="s">
        <v>3</v>
      </c>
      <c r="C2" s="2" t="s">
        <v>0</v>
      </c>
      <c r="D2" s="3">
        <v>24000</v>
      </c>
      <c r="E2" s="3">
        <v>100000</v>
      </c>
    </row>
    <row r="4" spans="2:5" x14ac:dyDescent="0.25">
      <c r="B4" t="s">
        <v>13</v>
      </c>
      <c r="C4" s="6">
        <v>3</v>
      </c>
      <c r="D4" s="6"/>
    </row>
    <row r="5" spans="2:5" x14ac:dyDescent="0.25">
      <c r="B5" t="s">
        <v>7</v>
      </c>
      <c r="C5" s="5">
        <f>SUM(C4*D2)+E2</f>
        <v>172000</v>
      </c>
      <c r="D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D0DF-9936-4D38-A8F3-7451A472DEFB}">
  <sheetPr>
    <tabColor rgb="FFFF0000"/>
  </sheetPr>
  <dimension ref="A1:D12"/>
  <sheetViews>
    <sheetView workbookViewId="0">
      <selection activeCell="B17" sqref="B17"/>
    </sheetView>
  </sheetViews>
  <sheetFormatPr defaultRowHeight="15" x14ac:dyDescent="0.25"/>
  <cols>
    <col min="2" max="2" width="56.140625" customWidth="1"/>
    <col min="3" max="3" width="19.5703125" customWidth="1"/>
    <col min="4" max="4" width="12.42578125" style="1" customWidth="1"/>
  </cols>
  <sheetData>
    <row r="1" spans="1:4" x14ac:dyDescent="0.25">
      <c r="C1" s="4" t="s">
        <v>2</v>
      </c>
      <c r="D1" s="3" t="s">
        <v>6</v>
      </c>
    </row>
    <row r="2" spans="1:4" x14ac:dyDescent="0.25">
      <c r="B2" t="s">
        <v>20</v>
      </c>
      <c r="C2" s="4" t="s">
        <v>0</v>
      </c>
      <c r="D2" s="3">
        <v>14000</v>
      </c>
    </row>
    <row r="3" spans="1:4" x14ac:dyDescent="0.25">
      <c r="B3" t="s">
        <v>21</v>
      </c>
      <c r="C3" s="4" t="s">
        <v>22</v>
      </c>
      <c r="D3" s="3">
        <v>24000</v>
      </c>
    </row>
    <row r="6" spans="1:4" x14ac:dyDescent="0.25">
      <c r="A6" s="15" t="s">
        <v>20</v>
      </c>
      <c r="B6" s="2" t="s">
        <v>16</v>
      </c>
      <c r="C6" s="6">
        <v>1.9</v>
      </c>
      <c r="D6" s="6">
        <v>2.5</v>
      </c>
    </row>
    <row r="7" spans="1:4" x14ac:dyDescent="0.25">
      <c r="A7" s="15"/>
      <c r="B7" s="16" t="s">
        <v>24</v>
      </c>
      <c r="C7" s="14">
        <f>(C6*D6)+0.2</f>
        <v>4.95</v>
      </c>
      <c r="D7" s="6"/>
    </row>
    <row r="8" spans="1:4" x14ac:dyDescent="0.25">
      <c r="A8" s="15"/>
      <c r="B8" s="16" t="s">
        <v>23</v>
      </c>
      <c r="C8" s="17">
        <f>C7*D2</f>
        <v>69300</v>
      </c>
      <c r="D8" s="9"/>
    </row>
    <row r="9" spans="1:4" x14ac:dyDescent="0.25">
      <c r="D9" s="11"/>
    </row>
    <row r="10" spans="1:4" x14ac:dyDescent="0.25">
      <c r="A10" s="15" t="s">
        <v>21</v>
      </c>
      <c r="B10" s="2" t="s">
        <v>16</v>
      </c>
      <c r="C10" s="6">
        <v>1.9</v>
      </c>
      <c r="D10" s="6">
        <v>2.5</v>
      </c>
    </row>
    <row r="11" spans="1:4" x14ac:dyDescent="0.25">
      <c r="A11" s="15"/>
      <c r="B11" s="16" t="s">
        <v>24</v>
      </c>
      <c r="C11" s="14">
        <f>(C10*D10)+0.2</f>
        <v>4.95</v>
      </c>
      <c r="D11" s="6"/>
    </row>
    <row r="12" spans="1:4" x14ac:dyDescent="0.25">
      <c r="A12" s="15"/>
      <c r="B12" s="16" t="s">
        <v>23</v>
      </c>
      <c r="C12" s="17">
        <f>C11*D3</f>
        <v>118800</v>
      </c>
      <c r="D12" s="9"/>
    </row>
  </sheetData>
  <mergeCells count="2">
    <mergeCell ref="A6:A8"/>
    <mergeCell ref="A10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9260-F0A4-448D-BCED-45AAE2E6CF6B}">
  <sheetPr>
    <tabColor rgb="FFFF0000"/>
  </sheetPr>
  <dimension ref="A1:D16"/>
  <sheetViews>
    <sheetView workbookViewId="0">
      <selection activeCell="G14" sqref="G14"/>
    </sheetView>
  </sheetViews>
  <sheetFormatPr defaultRowHeight="15" x14ac:dyDescent="0.25"/>
  <cols>
    <col min="1" max="1" width="26.5703125" customWidth="1"/>
    <col min="2" max="2" width="56.140625" customWidth="1"/>
    <col min="3" max="3" width="19.5703125" customWidth="1"/>
    <col min="4" max="4" width="12.42578125" style="1" customWidth="1"/>
  </cols>
  <sheetData>
    <row r="1" spans="1:4" x14ac:dyDescent="0.25">
      <c r="C1" s="4" t="s">
        <v>2</v>
      </c>
      <c r="D1" s="3" t="s">
        <v>6</v>
      </c>
    </row>
    <row r="2" spans="1:4" x14ac:dyDescent="0.25">
      <c r="B2" t="s">
        <v>25</v>
      </c>
      <c r="C2" s="4" t="s">
        <v>0</v>
      </c>
      <c r="D2" s="3">
        <v>17000</v>
      </c>
    </row>
    <row r="3" spans="1:4" x14ac:dyDescent="0.25">
      <c r="B3" t="s">
        <v>26</v>
      </c>
      <c r="C3" s="4" t="s">
        <v>22</v>
      </c>
      <c r="D3" s="3">
        <v>53400</v>
      </c>
    </row>
    <row r="4" spans="1:4" x14ac:dyDescent="0.25">
      <c r="B4" t="s">
        <v>28</v>
      </c>
      <c r="C4" s="4" t="s">
        <v>27</v>
      </c>
      <c r="D4" s="3">
        <v>102000</v>
      </c>
    </row>
    <row r="6" spans="1:4" x14ac:dyDescent="0.25">
      <c r="A6" s="15" t="str">
        <f>B2</f>
        <v>жалюзи горизонтальные - алюминий</v>
      </c>
      <c r="B6" s="2" t="s">
        <v>16</v>
      </c>
      <c r="C6" s="6">
        <v>1.9</v>
      </c>
      <c r="D6" s="6">
        <v>2.5</v>
      </c>
    </row>
    <row r="7" spans="1:4" x14ac:dyDescent="0.25">
      <c r="A7" s="15"/>
      <c r="B7" s="16" t="s">
        <v>24</v>
      </c>
      <c r="C7" s="14">
        <f>(C6*D6)+0.2</f>
        <v>4.95</v>
      </c>
      <c r="D7" s="6"/>
    </row>
    <row r="8" spans="1:4" x14ac:dyDescent="0.25">
      <c r="A8" s="15"/>
      <c r="B8" s="16" t="s">
        <v>23</v>
      </c>
      <c r="C8" s="17">
        <f>C7*D2</f>
        <v>84150</v>
      </c>
      <c r="D8" s="9"/>
    </row>
    <row r="9" spans="1:4" x14ac:dyDescent="0.25">
      <c r="D9" s="11"/>
    </row>
    <row r="10" spans="1:4" x14ac:dyDescent="0.25">
      <c r="A10" s="15" t="str">
        <f>B3</f>
        <v>жалюзи горизонтальные  - древесно полимерный композит</v>
      </c>
      <c r="B10" s="2" t="s">
        <v>16</v>
      </c>
      <c r="C10" s="6">
        <v>1.9</v>
      </c>
      <c r="D10" s="6">
        <v>2.5</v>
      </c>
    </row>
    <row r="11" spans="1:4" x14ac:dyDescent="0.25">
      <c r="A11" s="15"/>
      <c r="B11" s="16" t="s">
        <v>24</v>
      </c>
      <c r="C11" s="14">
        <f>(C10*D10)+0.2</f>
        <v>4.95</v>
      </c>
      <c r="D11" s="6"/>
    </row>
    <row r="12" spans="1:4" x14ac:dyDescent="0.25">
      <c r="A12" s="15"/>
      <c r="B12" s="16" t="s">
        <v>23</v>
      </c>
      <c r="C12" s="17">
        <f>C11*D3</f>
        <v>264330</v>
      </c>
      <c r="D12" s="9"/>
    </row>
    <row r="14" spans="1:4" x14ac:dyDescent="0.25">
      <c r="A14" s="15" t="str">
        <f>B4</f>
        <v>жалюзи горизонтальные  - дерево</v>
      </c>
      <c r="B14" s="2" t="s">
        <v>16</v>
      </c>
      <c r="C14" s="6">
        <v>1.9</v>
      </c>
      <c r="D14" s="6">
        <v>2.5</v>
      </c>
    </row>
    <row r="15" spans="1:4" x14ac:dyDescent="0.25">
      <c r="A15" s="15"/>
      <c r="B15" s="16" t="s">
        <v>24</v>
      </c>
      <c r="C15" s="14">
        <f>(C14*D14)+0.2</f>
        <v>4.95</v>
      </c>
      <c r="D15" s="6"/>
    </row>
    <row r="16" spans="1:4" x14ac:dyDescent="0.25">
      <c r="A16" s="15"/>
      <c r="B16" s="16" t="s">
        <v>23</v>
      </c>
      <c r="C16" s="17">
        <f>D4*C15</f>
        <v>504900</v>
      </c>
      <c r="D16" s="9"/>
    </row>
  </sheetData>
  <mergeCells count="3">
    <mergeCell ref="A6:A8"/>
    <mergeCell ref="A10:A12"/>
    <mergeCell ref="A14:A1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B264-017E-42D2-8FE0-571BCBB0EF29}">
  <sheetPr>
    <tabColor rgb="FFFF0000"/>
  </sheetPr>
  <dimension ref="A1:E18"/>
  <sheetViews>
    <sheetView tabSelected="1" workbookViewId="0">
      <selection activeCell="E5" sqref="E5"/>
    </sheetView>
  </sheetViews>
  <sheetFormatPr defaultRowHeight="15" x14ac:dyDescent="0.25"/>
  <cols>
    <col min="2" max="2" width="45.140625" customWidth="1"/>
    <col min="3" max="3" width="19.5703125" customWidth="1"/>
    <col min="4" max="4" width="12.42578125" style="1" customWidth="1"/>
  </cols>
  <sheetData>
    <row r="1" spans="1:5" x14ac:dyDescent="0.25">
      <c r="B1" s="21" t="s">
        <v>9</v>
      </c>
      <c r="C1" s="4" t="s">
        <v>2</v>
      </c>
      <c r="D1" s="18" t="s">
        <v>6</v>
      </c>
    </row>
    <row r="2" spans="1:5" x14ac:dyDescent="0.25">
      <c r="B2" t="s">
        <v>33</v>
      </c>
      <c r="C2" s="4" t="s">
        <v>0</v>
      </c>
      <c r="D2" s="3">
        <v>17000</v>
      </c>
    </row>
    <row r="3" spans="1:5" x14ac:dyDescent="0.25">
      <c r="B3" t="s">
        <v>34</v>
      </c>
      <c r="C3" s="19"/>
      <c r="D3" s="20"/>
    </row>
    <row r="4" spans="1:5" x14ac:dyDescent="0.25">
      <c r="B4" t="s">
        <v>35</v>
      </c>
      <c r="C4" s="19"/>
      <c r="D4" s="20"/>
    </row>
    <row r="6" spans="1:5" x14ac:dyDescent="0.25">
      <c r="A6" s="15" t="s">
        <v>29</v>
      </c>
      <c r="C6" s="14"/>
      <c r="D6" s="14"/>
      <c r="E6" s="13"/>
    </row>
    <row r="7" spans="1:5" x14ac:dyDescent="0.25">
      <c r="A7" s="15"/>
      <c r="B7" s="16" t="s">
        <v>32</v>
      </c>
      <c r="C7" s="22">
        <f>'штора расчет'!C8</f>
        <v>238800</v>
      </c>
      <c r="D7" s="14"/>
      <c r="E7" s="13"/>
    </row>
    <row r="8" spans="1:5" x14ac:dyDescent="0.25">
      <c r="A8" s="15"/>
      <c r="B8" s="16" t="s">
        <v>23</v>
      </c>
      <c r="C8" s="27">
        <f>C7</f>
        <v>238800</v>
      </c>
      <c r="D8" s="24"/>
      <c r="E8" s="13"/>
    </row>
    <row r="9" spans="1:5" x14ac:dyDescent="0.25">
      <c r="C9" s="13"/>
      <c r="D9" s="25"/>
      <c r="E9" s="13"/>
    </row>
    <row r="10" spans="1:5" x14ac:dyDescent="0.25">
      <c r="A10" s="15" t="s">
        <v>30</v>
      </c>
      <c r="B10" s="2" t="s">
        <v>32</v>
      </c>
      <c r="C10" s="22">
        <f>'штора расчет'!C8</f>
        <v>238800</v>
      </c>
      <c r="D10" s="14"/>
      <c r="E10" s="13"/>
    </row>
    <row r="11" spans="1:5" x14ac:dyDescent="0.25">
      <c r="A11" s="15"/>
      <c r="B11" s="16" t="s">
        <v>36</v>
      </c>
      <c r="C11" s="22">
        <f>'расчет жалюзи'!C8</f>
        <v>84150</v>
      </c>
      <c r="D11" s="14"/>
      <c r="E11" s="13"/>
    </row>
    <row r="12" spans="1:5" x14ac:dyDescent="0.25">
      <c r="A12" s="15"/>
      <c r="B12" s="23" t="s">
        <v>23</v>
      </c>
      <c r="C12" s="27">
        <f>SUM(C10:C11)</f>
        <v>322950</v>
      </c>
      <c r="D12" s="24"/>
      <c r="E12" s="13"/>
    </row>
    <row r="13" spans="1:5" x14ac:dyDescent="0.25">
      <c r="C13" s="13"/>
      <c r="D13" s="26"/>
      <c r="E13" s="13"/>
    </row>
    <row r="14" spans="1:5" x14ac:dyDescent="0.25">
      <c r="A14" s="15" t="s">
        <v>31</v>
      </c>
      <c r="B14" s="2" t="s">
        <v>32</v>
      </c>
      <c r="C14" s="22">
        <f>'штора расчет'!C8</f>
        <v>238800</v>
      </c>
      <c r="D14" s="14"/>
      <c r="E14" s="13"/>
    </row>
    <row r="15" spans="1:5" x14ac:dyDescent="0.25">
      <c r="A15" s="15"/>
      <c r="B15" s="16" t="s">
        <v>37</v>
      </c>
      <c r="C15" s="22">
        <f>'штора римская расчет'!C9</f>
        <v>135950</v>
      </c>
      <c r="D15" s="14"/>
      <c r="E15" s="13"/>
    </row>
    <row r="16" spans="1:5" x14ac:dyDescent="0.25">
      <c r="A16" s="15"/>
      <c r="B16" s="16" t="s">
        <v>23</v>
      </c>
      <c r="C16" s="27">
        <f>SUM(C14:C15)</f>
        <v>374750</v>
      </c>
      <c r="D16" s="24"/>
      <c r="E16" s="13"/>
    </row>
    <row r="17" spans="3:5" x14ac:dyDescent="0.25">
      <c r="C17" s="13"/>
      <c r="D17" s="26"/>
      <c r="E17" s="13"/>
    </row>
    <row r="18" spans="3:5" x14ac:dyDescent="0.25">
      <c r="C18" s="13"/>
      <c r="D18" s="26"/>
      <c r="E18" s="13"/>
    </row>
  </sheetData>
  <mergeCells count="3">
    <mergeCell ref="A6:A8"/>
    <mergeCell ref="A10:A12"/>
    <mergeCell ref="A14:A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штора расчет</vt:lpstr>
      <vt:lpstr>штора римская расчет</vt:lpstr>
      <vt:lpstr>штора покрывало расчет</vt:lpstr>
      <vt:lpstr>расчет ролл шторы (2)</vt:lpstr>
      <vt:lpstr>расчет жалюзи</vt:lpstr>
      <vt:lpstr>кабинет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Пользователь</cp:lastModifiedBy>
  <dcterms:created xsi:type="dcterms:W3CDTF">2015-06-05T18:19:34Z</dcterms:created>
  <dcterms:modified xsi:type="dcterms:W3CDTF">2026-09-28T10:32:35Z</dcterms:modified>
</cp:coreProperties>
</file>